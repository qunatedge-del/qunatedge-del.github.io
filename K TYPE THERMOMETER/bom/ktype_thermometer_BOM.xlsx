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" customWidth="1" min="3" max="3"/>
    <col width="22" customWidth="1" min="4" max="4"/>
    <col width="18" customWidth="1" min="5" max="5"/>
    <col width="52" customWidth="1" min="6" max="6"/>
    <col width="24" customWidth="1" min="7" max="7"/>
    <col width="24" customWidth="1" min="8" max="8"/>
    <col width="13" customWidth="1" min="9" max="9"/>
    <col width="60" customWidth="1" min="10" max="10"/>
  </cols>
  <sheetData>
    <row r="1">
      <c r="A1" s="1" t="inlineStr">
        <is>
          <t>4-CH K-TYPE THERMOMETER / LOGGER  -  BOM  (Rev A (draft), 2026-10-09)</t>
        </is>
      </c>
    </row>
    <row r="2">
      <c r="A2" s="2" t="inlineStr">
        <is>
          <t>Passives are generic (spec in Value/Notes). ICs carry the suggested MPN. DNP = do not populate.</t>
        </is>
      </c>
    </row>
    <row r="4">
      <c r="A4" s="3" t="inlineStr">
        <is>
          <t>Item #</t>
        </is>
      </c>
      <c r="B4" s="3" t="inlineStr">
        <is>
          <t>Ref Des</t>
        </is>
      </c>
      <c r="C4" s="3" t="inlineStr">
        <is>
          <t>Qty</t>
        </is>
      </c>
      <c r="D4" s="3" t="inlineStr">
        <is>
          <t>Value</t>
        </is>
      </c>
      <c r="E4" s="3" t="inlineStr">
        <is>
          <t>Package</t>
        </is>
      </c>
      <c r="F4" s="3" t="inlineStr">
        <is>
          <t>Description</t>
        </is>
      </c>
      <c r="G4" s="3" t="inlineStr">
        <is>
          <t>Manufacturer</t>
        </is>
      </c>
      <c r="H4" s="3" t="inlineStr">
        <is>
          <t>MPN</t>
        </is>
      </c>
      <c r="I4" s="3" t="inlineStr">
        <is>
          <t>Category</t>
        </is>
      </c>
      <c r="J4" s="3" t="inlineStr">
        <is>
          <t>Notes</t>
        </is>
      </c>
    </row>
    <row r="5">
      <c r="A5" s="4" t="n">
        <v>1</v>
      </c>
      <c r="B5" s="4" t="inlineStr">
        <is>
          <t>U1</t>
        </is>
      </c>
      <c r="C5" s="4" t="n">
        <v>1</v>
      </c>
      <c r="D5" s="4" t="inlineStr">
        <is>
          <t>SD93F115B-JQS</t>
        </is>
      </c>
      <c r="E5" s="4" t="inlineStr">
        <is>
          <t>LQFP100 14x14 0.5mm</t>
        </is>
      </c>
      <c r="F5" s="4" t="inlineStr">
        <is>
          <t>32-bit MCU SoC: 18/20-bit SD-ADC+PGIA, LCD driver 4COMx44SEG, RTC, UART/I2C/SPI</t>
        </is>
      </c>
      <c r="G5" s="4" t="inlineStr">
        <is>
          <t>SDIC (晶華微)</t>
        </is>
      </c>
      <c r="H5" s="4" t="inlineStr">
        <is>
          <t>SD93F115B-JQS</t>
        </is>
      </c>
      <c r="I5" s="4" t="inlineStr">
        <is>
          <t>IC</t>
        </is>
      </c>
      <c r="J5" s="4" t="inlineStr">
        <is>
          <t>LQFP100 chosen for 4COM x 39 usable SEG + charge pump (see docs)</t>
        </is>
      </c>
    </row>
    <row r="6">
      <c r="A6" s="4" t="n">
        <v>2</v>
      </c>
      <c r="B6" s="4" t="inlineStr">
        <is>
          <t>U2</t>
        </is>
      </c>
      <c r="C6" s="4" t="n">
        <v>1</v>
      </c>
      <c r="D6" s="4" t="inlineStr">
        <is>
          <t>TP4054</t>
        </is>
      </c>
      <c r="E6" s="4" t="inlineStr">
        <is>
          <t>SOT-23-5</t>
        </is>
      </c>
      <c r="F6" s="4" t="inlineStr">
        <is>
          <t>1S Li-ion linear charger, 500 mA (R18=2k)</t>
        </is>
      </c>
      <c r="G6" s="4" t="inlineStr">
        <is>
          <t>TOPPOWER / equiv. LTC4054</t>
        </is>
      </c>
      <c r="H6" s="4" t="inlineStr">
        <is>
          <t>TP4054</t>
        </is>
      </c>
      <c r="I6" s="4" t="inlineStr">
        <is>
          <t>IC</t>
        </is>
      </c>
      <c r="J6" s="4" t="inlineStr">
        <is>
          <t>Pinout = LTC4054: 1 CHRG,2 GND,3 BAT,4 VCC,5 PROG</t>
        </is>
      </c>
    </row>
    <row r="7">
      <c r="A7" s="4" t="n">
        <v>3</v>
      </c>
      <c r="B7" s="4" t="inlineStr">
        <is>
          <t>U3, U4</t>
        </is>
      </c>
      <c r="C7" s="4" t="n">
        <v>2</v>
      </c>
      <c r="D7" s="4" t="inlineStr">
        <is>
          <t>XC6206P332MR</t>
        </is>
      </c>
      <c r="E7" s="4" t="inlineStr">
        <is>
          <t>SOT-23</t>
        </is>
      </c>
      <c r="F7" s="4" t="inlineStr">
        <is>
          <t>3.3 V 200 mA low-Iq LDO. U3 = system rail VDD (from battery); U4 = USB-UART bridge rail (from VBUS)</t>
        </is>
      </c>
      <c r="G7" s="4" t="inlineStr">
        <is>
          <t>Torex</t>
        </is>
      </c>
      <c r="H7" s="4" t="inlineStr">
        <is>
          <t>XC6206P332MR</t>
        </is>
      </c>
      <c r="I7" s="4" t="inlineStr">
        <is>
          <t>IC</t>
        </is>
      </c>
      <c r="J7" s="4" t="inlineStr">
        <is>
          <t>3-pin SOT-23: verify pin order against the vendor datasheet. Do not use a 40 uA-Iq LDO as U3 (sleep current)</t>
        </is>
      </c>
    </row>
    <row r="8">
      <c r="A8" s="4" t="n">
        <v>4</v>
      </c>
      <c r="B8" s="4" t="inlineStr">
        <is>
          <t>U5</t>
        </is>
      </c>
      <c r="C8" s="4" t="n">
        <v>1</v>
      </c>
      <c r="D8" s="4" t="inlineStr">
        <is>
          <t>CH340N</t>
        </is>
      </c>
      <c r="E8" s="4" t="inlineStr">
        <is>
          <t>SOP-8</t>
        </is>
      </c>
      <c r="F8" s="4" t="inlineStr">
        <is>
          <t>USB to UART bridge, no crystal, VCC=V3=3.3 V</t>
        </is>
      </c>
      <c r="G8" s="4" t="inlineStr">
        <is>
          <t>WCH (沁恆)</t>
        </is>
      </c>
      <c r="H8" s="4" t="inlineStr">
        <is>
          <t>CH340N</t>
        </is>
      </c>
      <c r="I8" s="4" t="inlineStr">
        <is>
          <t>IC</t>
        </is>
      </c>
      <c r="J8" s="4" t="inlineStr">
        <is>
          <t>Verify SOP-8 pin numbers against CH340N datasheet before layout</t>
        </is>
      </c>
    </row>
    <row r="9">
      <c r="A9" s="4" t="n">
        <v>5</v>
      </c>
      <c r="B9" s="4" t="inlineStr">
        <is>
          <t>U6</t>
        </is>
      </c>
      <c r="C9" s="4" t="n">
        <v>1</v>
      </c>
      <c r="D9" s="4" t="inlineStr">
        <is>
          <t>AT24CM01-SSHD-T</t>
        </is>
      </c>
      <c r="E9" s="4" t="inlineStr">
        <is>
          <t>SOIC-8</t>
        </is>
      </c>
      <c r="F9" s="4" t="inlineStr">
        <is>
          <t>1 Mbit (128 KB) I2C EEPROM - stand-alone log memory</t>
        </is>
      </c>
      <c r="G9" s="4" t="inlineStr">
        <is>
          <t>Microchip</t>
        </is>
      </c>
      <c r="H9" s="4" t="inlineStr">
        <is>
          <t>AT24CM01-SSHD-T</t>
        </is>
      </c>
      <c r="I9" s="4" t="inlineStr">
        <is>
          <t>IC</t>
        </is>
      </c>
      <c r="J9" s="4" t="inlineStr">
        <is>
          <t>A1,A2 and WP tied to GND, A0 NC; 24C512 is a drop-in if cost matters</t>
        </is>
      </c>
    </row>
    <row r="10">
      <c r="A10" s="4" t="n">
        <v>6</v>
      </c>
      <c r="B10" s="4" t="inlineStr">
        <is>
          <t>U7</t>
        </is>
      </c>
      <c r="C10" s="4" t="n">
        <v>1</v>
      </c>
      <c r="D10" s="4" t="inlineStr">
        <is>
          <t>USBLC6-2SC6</t>
        </is>
      </c>
      <c r="E10" s="4" t="inlineStr">
        <is>
          <t>SOT-23-6</t>
        </is>
      </c>
      <c r="F10" s="4" t="inlineStr">
        <is>
          <t>USB D+/D- ESD protection</t>
        </is>
      </c>
      <c r="G10" s="4" t="inlineStr">
        <is>
          <t>STMicroelectronics</t>
        </is>
      </c>
      <c r="H10" s="4" t="inlineStr">
        <is>
          <t>USBLC6-2SC6</t>
        </is>
      </c>
      <c r="I10" s="4" t="inlineStr">
        <is>
          <t>IC</t>
        </is>
      </c>
      <c r="J10" s="4" t="inlineStr"/>
    </row>
    <row r="11">
      <c r="A11" s="5" t="n">
        <v>7</v>
      </c>
      <c r="B11" s="5" t="inlineStr">
        <is>
          <t>F1</t>
        </is>
      </c>
      <c r="C11" s="5" t="n">
        <v>1</v>
      </c>
      <c r="D11" s="5" t="inlineStr">
        <is>
          <t>PTC 0.5 A hold</t>
        </is>
      </c>
      <c r="E11" s="5" t="inlineStr">
        <is>
          <t>1206</t>
        </is>
      </c>
      <c r="F11" s="5" t="inlineStr">
        <is>
          <t>Resettable fuse on VBUS</t>
        </is>
      </c>
      <c r="G11" s="5" t="inlineStr">
        <is>
          <t>Bourns</t>
        </is>
      </c>
      <c r="H11" s="5" t="inlineStr">
        <is>
          <t>MF-NSMF050-2</t>
        </is>
      </c>
      <c r="I11" s="5" t="inlineStr">
        <is>
          <t>Discrete</t>
        </is>
      </c>
      <c r="J11" s="5" t="inlineStr"/>
    </row>
    <row r="12">
      <c r="A12" s="5" t="n">
        <v>8</v>
      </c>
      <c r="B12" s="5" t="inlineStr">
        <is>
          <t>Q1</t>
        </is>
      </c>
      <c r="C12" s="5" t="n">
        <v>1</v>
      </c>
      <c r="D12" s="5" t="inlineStr">
        <is>
          <t>MMBT3904</t>
        </is>
      </c>
      <c r="E12" s="5" t="inlineStr">
        <is>
          <t>SOT-23</t>
        </is>
      </c>
      <c r="F12" s="5" t="inlineStr">
        <is>
          <t>NPN, LCD backlight switch (optional)</t>
        </is>
      </c>
      <c r="G12" s="5" t="inlineStr">
        <is>
          <t>onsemi</t>
        </is>
      </c>
      <c r="H12" s="5" t="inlineStr">
        <is>
          <t>MMBT3904</t>
        </is>
      </c>
      <c r="I12" s="5" t="inlineStr">
        <is>
          <t>Discrete</t>
        </is>
      </c>
      <c r="J12" s="5" t="inlineStr"/>
    </row>
    <row r="13">
      <c r="A13" s="6" t="n">
        <v>9</v>
      </c>
      <c r="B13" s="6" t="inlineStr">
        <is>
          <t>C1, C2, C3, C4</t>
        </is>
      </c>
      <c r="C13" s="6" t="n">
        <v>4</v>
      </c>
      <c r="D13" s="6" t="inlineStr">
        <is>
          <t>100 nF X7R</t>
        </is>
      </c>
      <c r="E13" s="6" t="inlineStr">
        <is>
          <t>0603</t>
        </is>
      </c>
      <c r="F13" s="6" t="inlineStr">
        <is>
          <t>TC input filter (K+ node to ACM)</t>
        </is>
      </c>
      <c r="G13" s="6" t="inlineStr">
        <is>
          <t>Generic</t>
        </is>
      </c>
      <c r="H13" s="6" t="inlineStr">
        <is>
          <t>-</t>
        </is>
      </c>
      <c r="I13" s="6" t="inlineStr">
        <is>
          <t>Passive</t>
        </is>
      </c>
      <c r="J13" s="6" t="inlineStr"/>
    </row>
    <row r="14">
      <c r="A14" s="6" t="n">
        <v>10</v>
      </c>
      <c r="B14" s="6" t="inlineStr">
        <is>
          <t>C5, C6</t>
        </is>
      </c>
      <c r="C14" s="6" t="n">
        <v>2</v>
      </c>
      <c r="D14" s="6" t="inlineStr">
        <is>
          <t>100 nF X7R</t>
        </is>
      </c>
      <c r="E14" s="6" t="inlineStr">
        <is>
          <t>0603</t>
        </is>
      </c>
      <c r="F14" s="6" t="inlineStr">
        <is>
          <t>CJC network filter (across R14 / across RT1)</t>
        </is>
      </c>
      <c r="G14" s="6" t="inlineStr">
        <is>
          <t>Generic</t>
        </is>
      </c>
      <c r="H14" s="6" t="inlineStr">
        <is>
          <t>-</t>
        </is>
      </c>
      <c r="I14" s="6" t="inlineStr">
        <is>
          <t>Passive</t>
        </is>
      </c>
      <c r="J14" s="6" t="inlineStr"/>
    </row>
    <row r="15">
      <c r="A15" s="6" t="n">
        <v>11</v>
      </c>
      <c r="B15" s="6" t="inlineStr">
        <is>
          <t>C7</t>
        </is>
      </c>
      <c r="C15" s="6" t="n">
        <v>1</v>
      </c>
      <c r="D15" s="6" t="inlineStr">
        <is>
          <t>100 nF X7R</t>
        </is>
      </c>
      <c r="E15" s="6" t="inlineStr">
        <is>
          <t>0603</t>
        </is>
      </c>
      <c r="F15" s="6" t="inlineStr">
        <is>
          <t>ACM to GND (vendor reference C9)</t>
        </is>
      </c>
      <c r="G15" s="6" t="inlineStr">
        <is>
          <t>Generic</t>
        </is>
      </c>
      <c r="H15" s="6" t="inlineStr">
        <is>
          <t>-</t>
        </is>
      </c>
      <c r="I15" s="6" t="inlineStr">
        <is>
          <t>Passive</t>
        </is>
      </c>
      <c r="J15" s="6" t="inlineStr"/>
    </row>
    <row r="16">
      <c r="A16" s="6" t="n">
        <v>12</v>
      </c>
      <c r="B16" s="6" t="inlineStr">
        <is>
          <t>C8</t>
        </is>
      </c>
      <c r="C16" s="6" t="n">
        <v>1</v>
      </c>
      <c r="D16" s="6" t="inlineStr">
        <is>
          <t>100 nF X7R</t>
        </is>
      </c>
      <c r="E16" s="6" t="inlineStr">
        <is>
          <t>0603</t>
        </is>
      </c>
      <c r="F16" s="6" t="inlineStr">
        <is>
          <t>VBAT sense filter</t>
        </is>
      </c>
      <c r="G16" s="6" t="inlineStr">
        <is>
          <t>Generic</t>
        </is>
      </c>
      <c r="H16" s="6" t="inlineStr">
        <is>
          <t>-</t>
        </is>
      </c>
      <c r="I16" s="6" t="inlineStr">
        <is>
          <t>Passive</t>
        </is>
      </c>
      <c r="J16" s="6" t="inlineStr"/>
    </row>
    <row r="17">
      <c r="A17" s="6" t="n">
        <v>13</v>
      </c>
      <c r="B17" s="6" t="inlineStr">
        <is>
          <t>C9</t>
        </is>
      </c>
      <c r="C17" s="6" t="n">
        <v>1</v>
      </c>
      <c r="D17" s="6" t="inlineStr">
        <is>
          <t>1 µF X7R</t>
        </is>
      </c>
      <c r="E17" s="6" t="inlineStr">
        <is>
          <t>0603</t>
        </is>
      </c>
      <c r="F17" s="6" t="inlineStr">
        <is>
          <t>VDD bulk at U1 pin 8</t>
        </is>
      </c>
      <c r="G17" s="6" t="inlineStr">
        <is>
          <t>Generic</t>
        </is>
      </c>
      <c r="H17" s="6" t="inlineStr">
        <is>
          <t>-</t>
        </is>
      </c>
      <c r="I17" s="6" t="inlineStr">
        <is>
          <t>Passive</t>
        </is>
      </c>
      <c r="J17" s="6" t="inlineStr"/>
    </row>
    <row r="18">
      <c r="A18" s="6" t="n">
        <v>14</v>
      </c>
      <c r="B18" s="6" t="inlineStr">
        <is>
          <t>C10</t>
        </is>
      </c>
      <c r="C18" s="6" t="n">
        <v>1</v>
      </c>
      <c r="D18" s="6" t="inlineStr">
        <is>
          <t>100 nF X7R</t>
        </is>
      </c>
      <c r="E18" s="6" t="inlineStr">
        <is>
          <t>0603</t>
        </is>
      </c>
      <c r="F18" s="6" t="inlineStr">
        <is>
          <t>VDD HF decoupling at U1</t>
        </is>
      </c>
      <c r="G18" s="6" t="inlineStr">
        <is>
          <t>Generic</t>
        </is>
      </c>
      <c r="H18" s="6" t="inlineStr">
        <is>
          <t>-</t>
        </is>
      </c>
      <c r="I18" s="6" t="inlineStr">
        <is>
          <t>Passive</t>
        </is>
      </c>
      <c r="J18" s="6" t="inlineStr"/>
    </row>
    <row r="19">
      <c r="A19" s="6" t="n">
        <v>15</v>
      </c>
      <c r="B19" s="6" t="inlineStr">
        <is>
          <t>C11</t>
        </is>
      </c>
      <c r="C19" s="6" t="n">
        <v>1</v>
      </c>
      <c r="D19" s="6" t="inlineStr">
        <is>
          <t>100 nF X7R</t>
        </is>
      </c>
      <c r="E19" s="6" t="inlineStr">
        <is>
          <t>0603</t>
        </is>
      </c>
      <c r="F19" s="6" t="inlineStr">
        <is>
          <t>AVDDR filter (pin 9) to AVSS</t>
        </is>
      </c>
      <c r="G19" s="6" t="inlineStr">
        <is>
          <t>Generic</t>
        </is>
      </c>
      <c r="H19" s="6" t="inlineStr">
        <is>
          <t>-</t>
        </is>
      </c>
      <c r="I19" s="6" t="inlineStr">
        <is>
          <t>Passive</t>
        </is>
      </c>
      <c r="J19" s="6" t="inlineStr"/>
    </row>
    <row r="20">
      <c r="A20" s="6" t="n">
        <v>16</v>
      </c>
      <c r="B20" s="6" t="inlineStr">
        <is>
          <t>C12</t>
        </is>
      </c>
      <c r="C20" s="6" t="n">
        <v>1</v>
      </c>
      <c r="D20" s="6" t="inlineStr">
        <is>
          <t>100 nF X7R</t>
        </is>
      </c>
      <c r="E20" s="6" t="inlineStr">
        <is>
          <t>0603</t>
        </is>
      </c>
      <c r="F20" s="6" t="inlineStr">
        <is>
          <t>ACM 1.2 V reference filter (pin 10) to AVSS</t>
        </is>
      </c>
      <c r="G20" s="6" t="inlineStr">
        <is>
          <t>Generic</t>
        </is>
      </c>
      <c r="H20" s="6" t="inlineStr">
        <is>
          <t>-</t>
        </is>
      </c>
      <c r="I20" s="6" t="inlineStr">
        <is>
          <t>Passive</t>
        </is>
      </c>
      <c r="J20" s="6" t="inlineStr"/>
    </row>
    <row r="21">
      <c r="A21" s="6" t="n">
        <v>17</v>
      </c>
      <c r="B21" s="6" t="inlineStr">
        <is>
          <t>C13</t>
        </is>
      </c>
      <c r="C21" s="6" t="n">
        <v>1</v>
      </c>
      <c r="D21" s="6" t="inlineStr">
        <is>
          <t>1 µF X7R</t>
        </is>
      </c>
      <c r="E21" s="6" t="inlineStr">
        <is>
          <t>0603</t>
        </is>
      </c>
      <c r="F21" s="6" t="inlineStr">
        <is>
          <t>DVDDR (pin 62) to DVSS</t>
        </is>
      </c>
      <c r="G21" s="6" t="inlineStr">
        <is>
          <t>Generic</t>
        </is>
      </c>
      <c r="H21" s="6" t="inlineStr">
        <is>
          <t>-</t>
        </is>
      </c>
      <c r="I21" s="6" t="inlineStr">
        <is>
          <t>Passive</t>
        </is>
      </c>
      <c r="J21" s="6" t="inlineStr">
        <is>
          <t>Vendor ref uses 1 uF; datasheet text says &gt;= 0.1 uF</t>
        </is>
      </c>
    </row>
    <row r="22">
      <c r="A22" s="6" t="n">
        <v>18</v>
      </c>
      <c r="B22" s="6" t="inlineStr">
        <is>
          <t>C14</t>
        </is>
      </c>
      <c r="C22" s="6" t="n">
        <v>1</v>
      </c>
      <c r="D22" s="6" t="inlineStr">
        <is>
          <t>1 µF X7R</t>
        </is>
      </c>
      <c r="E22" s="6" t="inlineStr">
        <is>
          <t>0603</t>
        </is>
      </c>
      <c r="F22" s="6" t="inlineStr">
        <is>
          <t>VLCD (pin 3) to VDD</t>
        </is>
      </c>
      <c r="G22" s="6" t="inlineStr">
        <is>
          <t>Generic</t>
        </is>
      </c>
      <c r="H22" s="6" t="inlineStr">
        <is>
          <t>-</t>
        </is>
      </c>
      <c r="I22" s="6" t="inlineStr">
        <is>
          <t>Passive</t>
        </is>
      </c>
      <c r="J22" s="6" t="inlineStr"/>
    </row>
    <row r="23">
      <c r="A23" s="6" t="n">
        <v>19</v>
      </c>
      <c r="B23" s="6" t="inlineStr">
        <is>
          <t>C15</t>
        </is>
      </c>
      <c r="C23" s="6" t="n">
        <v>1</v>
      </c>
      <c r="D23" s="6" t="inlineStr">
        <is>
          <t>100 nF X7R</t>
        </is>
      </c>
      <c r="E23" s="6" t="inlineStr">
        <is>
          <t>0603</t>
        </is>
      </c>
      <c r="F23" s="6" t="inlineStr">
        <is>
          <t>LCD charge pump flying cap, CN (pin 1) - CP (pin 2)</t>
        </is>
      </c>
      <c r="G23" s="6" t="inlineStr">
        <is>
          <t>Generic</t>
        </is>
      </c>
      <c r="H23" s="6" t="inlineStr">
        <is>
          <t>-</t>
        </is>
      </c>
      <c r="I23" s="6" t="inlineStr">
        <is>
          <t>Passive</t>
        </is>
      </c>
      <c r="J23" s="6" t="inlineStr"/>
    </row>
    <row r="24">
      <c r="A24" s="6" t="n">
        <v>20</v>
      </c>
      <c r="B24" s="6" t="inlineStr">
        <is>
          <t>C16</t>
        </is>
      </c>
      <c r="C24" s="6" t="n">
        <v>1</v>
      </c>
      <c r="D24" s="6" t="inlineStr">
        <is>
          <t>100 nF X7R</t>
        </is>
      </c>
      <c r="E24" s="6" t="inlineStr">
        <is>
          <t>0603</t>
        </is>
      </c>
      <c r="F24" s="6" t="inlineStr">
        <is>
          <t>RST_B filter</t>
        </is>
      </c>
      <c r="G24" s="6" t="inlineStr">
        <is>
          <t>Generic</t>
        </is>
      </c>
      <c r="H24" s="6" t="inlineStr">
        <is>
          <t>-</t>
        </is>
      </c>
      <c r="I24" s="6" t="inlineStr">
        <is>
          <t>Passive</t>
        </is>
      </c>
      <c r="J24" s="6" t="inlineStr"/>
    </row>
    <row r="25">
      <c r="A25" s="6" t="n">
        <v>21</v>
      </c>
      <c r="B25" s="6" t="inlineStr">
        <is>
          <t>C17</t>
        </is>
      </c>
      <c r="C25" s="6" t="n">
        <v>1</v>
      </c>
      <c r="D25" s="6" t="inlineStr">
        <is>
          <t>1 µF X7R 10V</t>
        </is>
      </c>
      <c r="E25" s="6" t="inlineStr">
        <is>
          <t>0603</t>
        </is>
      </c>
      <c r="F25" s="6" t="inlineStr">
        <is>
          <t>TP4054 VCC input</t>
        </is>
      </c>
      <c r="G25" s="6" t="inlineStr">
        <is>
          <t>Generic</t>
        </is>
      </c>
      <c r="H25" s="6" t="inlineStr">
        <is>
          <t>-</t>
        </is>
      </c>
      <c r="I25" s="6" t="inlineStr">
        <is>
          <t>Passive</t>
        </is>
      </c>
      <c r="J25" s="6" t="inlineStr"/>
    </row>
    <row r="26">
      <c r="A26" s="6" t="n">
        <v>22</v>
      </c>
      <c r="B26" s="6" t="inlineStr">
        <is>
          <t>C18</t>
        </is>
      </c>
      <c r="C26" s="6" t="n">
        <v>1</v>
      </c>
      <c r="D26" s="6" t="inlineStr">
        <is>
          <t>4.7 µF X5R 10V</t>
        </is>
      </c>
      <c r="E26" s="6" t="inlineStr">
        <is>
          <t>0805</t>
        </is>
      </c>
      <c r="F26" s="6" t="inlineStr">
        <is>
          <t>TP4054 BAT output</t>
        </is>
      </c>
      <c r="G26" s="6" t="inlineStr">
        <is>
          <t>Generic</t>
        </is>
      </c>
      <c r="H26" s="6" t="inlineStr">
        <is>
          <t>-</t>
        </is>
      </c>
      <c r="I26" s="6" t="inlineStr">
        <is>
          <t>Passive</t>
        </is>
      </c>
      <c r="J26" s="6" t="inlineStr"/>
    </row>
    <row r="27">
      <c r="A27" s="6" t="n">
        <v>23</v>
      </c>
      <c r="B27" s="6" t="inlineStr">
        <is>
          <t>C19</t>
        </is>
      </c>
      <c r="C27" s="6" t="n">
        <v>1</v>
      </c>
      <c r="D27" s="6" t="inlineStr">
        <is>
          <t>1 µF X7R 10V</t>
        </is>
      </c>
      <c r="E27" s="6" t="inlineStr">
        <is>
          <t>0603</t>
        </is>
      </c>
      <c r="F27" s="6" t="inlineStr">
        <is>
          <t>U3 input</t>
        </is>
      </c>
      <c r="G27" s="6" t="inlineStr">
        <is>
          <t>Generic</t>
        </is>
      </c>
      <c r="H27" s="6" t="inlineStr">
        <is>
          <t>-</t>
        </is>
      </c>
      <c r="I27" s="6" t="inlineStr">
        <is>
          <t>Passive</t>
        </is>
      </c>
      <c r="J27" s="6" t="inlineStr"/>
    </row>
    <row r="28">
      <c r="A28" s="6" t="n">
        <v>24</v>
      </c>
      <c r="B28" s="6" t="inlineStr">
        <is>
          <t>C20</t>
        </is>
      </c>
      <c r="C28" s="6" t="n">
        <v>1</v>
      </c>
      <c r="D28" s="6" t="inlineStr">
        <is>
          <t>10 µF X5R 10V</t>
        </is>
      </c>
      <c r="E28" s="6" t="inlineStr">
        <is>
          <t>0805</t>
        </is>
      </c>
      <c r="F28" s="6" t="inlineStr">
        <is>
          <t>U3 output / VDD bulk</t>
        </is>
      </c>
      <c r="G28" s="6" t="inlineStr">
        <is>
          <t>Generic</t>
        </is>
      </c>
      <c r="H28" s="6" t="inlineStr">
        <is>
          <t>-</t>
        </is>
      </c>
      <c r="I28" s="6" t="inlineStr">
        <is>
          <t>Passive</t>
        </is>
      </c>
      <c r="J28" s="6" t="inlineStr"/>
    </row>
    <row r="29">
      <c r="A29" s="6" t="n">
        <v>25</v>
      </c>
      <c r="B29" s="6" t="inlineStr">
        <is>
          <t>C21, C22</t>
        </is>
      </c>
      <c r="C29" s="6" t="n">
        <v>2</v>
      </c>
      <c r="D29" s="6" t="inlineStr">
        <is>
          <t>1 µF X7R 10V</t>
        </is>
      </c>
      <c r="E29" s="6" t="inlineStr">
        <is>
          <t>0603</t>
        </is>
      </c>
      <c r="F29" s="6" t="inlineStr">
        <is>
          <t>U4 input / output</t>
        </is>
      </c>
      <c r="G29" s="6" t="inlineStr">
        <is>
          <t>Generic</t>
        </is>
      </c>
      <c r="H29" s="6" t="inlineStr">
        <is>
          <t>-</t>
        </is>
      </c>
      <c r="I29" s="6" t="inlineStr">
        <is>
          <t>Passive</t>
        </is>
      </c>
      <c r="J29" s="6" t="inlineStr"/>
    </row>
    <row r="30">
      <c r="A30" s="6" t="n">
        <v>26</v>
      </c>
      <c r="B30" s="6" t="inlineStr">
        <is>
          <t>C23</t>
        </is>
      </c>
      <c r="C30" s="6" t="n">
        <v>1</v>
      </c>
      <c r="D30" s="6" t="inlineStr">
        <is>
          <t>100 nF X7R</t>
        </is>
      </c>
      <c r="E30" s="6" t="inlineStr">
        <is>
          <t>0603</t>
        </is>
      </c>
      <c r="F30" s="6" t="inlineStr">
        <is>
          <t>CH340N VCC decoupling</t>
        </is>
      </c>
      <c r="G30" s="6" t="inlineStr">
        <is>
          <t>Generic</t>
        </is>
      </c>
      <c r="H30" s="6" t="inlineStr">
        <is>
          <t>-</t>
        </is>
      </c>
      <c r="I30" s="6" t="inlineStr">
        <is>
          <t>Passive</t>
        </is>
      </c>
      <c r="J30" s="6" t="inlineStr"/>
    </row>
    <row r="31">
      <c r="A31" s="6" t="n">
        <v>27</v>
      </c>
      <c r="B31" s="6" t="inlineStr">
        <is>
          <t>C24, C25, C26, C27, C28</t>
        </is>
      </c>
      <c r="C31" s="6" t="n">
        <v>5</v>
      </c>
      <c r="D31" s="6" t="inlineStr">
        <is>
          <t>100 nF X7R</t>
        </is>
      </c>
      <c r="E31" s="6" t="inlineStr">
        <is>
          <t>0603</t>
        </is>
      </c>
      <c r="F31" s="6" t="inlineStr">
        <is>
          <t>Key debounce / ESD</t>
        </is>
      </c>
      <c r="G31" s="6" t="inlineStr">
        <is>
          <t>Generic</t>
        </is>
      </c>
      <c r="H31" s="6" t="inlineStr">
        <is>
          <t>-</t>
        </is>
      </c>
      <c r="I31" s="6" t="inlineStr">
        <is>
          <t>Passive</t>
        </is>
      </c>
      <c r="J31" s="6" t="inlineStr"/>
    </row>
    <row r="32">
      <c r="A32" s="6" t="n">
        <v>28</v>
      </c>
      <c r="B32" s="6" t="inlineStr">
        <is>
          <t>C29, C30</t>
        </is>
      </c>
      <c r="C32" s="6" t="n">
        <v>2</v>
      </c>
      <c r="D32" s="6" t="inlineStr">
        <is>
          <t>18 pF C0G</t>
        </is>
      </c>
      <c r="E32" s="6" t="inlineStr">
        <is>
          <t>0603</t>
        </is>
      </c>
      <c r="F32" s="6" t="inlineStr">
        <is>
          <t>32.768 kHz crystal load capacitors</t>
        </is>
      </c>
      <c r="G32" s="6" t="inlineStr">
        <is>
          <t>Generic</t>
        </is>
      </c>
      <c r="H32" s="6" t="inlineStr">
        <is>
          <t>-</t>
        </is>
      </c>
      <c r="I32" s="6" t="inlineStr">
        <is>
          <t>Passive</t>
        </is>
      </c>
      <c r="J32" s="6" t="inlineStr">
        <is>
          <t>Re-tune for the layout: CL = C/2 + Cstray = 12.5 pF</t>
        </is>
      </c>
    </row>
    <row r="33">
      <c r="A33" s="6" t="n">
        <v>29</v>
      </c>
      <c r="B33" s="6" t="inlineStr">
        <is>
          <t>C31</t>
        </is>
      </c>
      <c r="C33" s="6" t="n">
        <v>1</v>
      </c>
      <c r="D33" s="6" t="inlineStr">
        <is>
          <t>100 nF X7R</t>
        </is>
      </c>
      <c r="E33" s="6" t="inlineStr">
        <is>
          <t>0603</t>
        </is>
      </c>
      <c r="F33" s="6" t="inlineStr">
        <is>
          <t>U6 decoupling</t>
        </is>
      </c>
      <c r="G33" s="6" t="inlineStr">
        <is>
          <t>Generic</t>
        </is>
      </c>
      <c r="H33" s="6" t="inlineStr">
        <is>
          <t>-</t>
        </is>
      </c>
      <c r="I33" s="6" t="inlineStr">
        <is>
          <t>Passive</t>
        </is>
      </c>
      <c r="J33" s="6" t="inlineStr"/>
    </row>
    <row r="34">
      <c r="A34" s="6" t="n">
        <v>30</v>
      </c>
      <c r="B34" s="6" t="inlineStr">
        <is>
          <t>R1, R4, R7, R10</t>
        </is>
      </c>
      <c r="C34" s="6" t="n">
        <v>4</v>
      </c>
      <c r="D34" s="6" t="inlineStr">
        <is>
          <t>22 MΩ 1%</t>
        </is>
      </c>
      <c r="E34" s="6" t="inlineStr">
        <is>
          <t>1206</t>
        </is>
      </c>
      <c r="F34" s="6" t="inlineStr">
        <is>
          <t>TC bias pull-up to AVDDR (open-TC detect)</t>
        </is>
      </c>
      <c r="G34" s="6" t="inlineStr">
        <is>
          <t>Generic</t>
        </is>
      </c>
      <c r="H34" s="6" t="inlineStr">
        <is>
          <t>-</t>
        </is>
      </c>
      <c r="I34" s="6" t="inlineStr">
        <is>
          <t>Passive</t>
        </is>
      </c>
      <c r="J34" s="6" t="inlineStr">
        <is>
          <t>High-value: clean flux, no leakage path. &gt;= 200 V rated</t>
        </is>
      </c>
    </row>
    <row r="35">
      <c r="A35" s="6" t="n">
        <v>31</v>
      </c>
      <c r="B35" s="6" t="inlineStr">
        <is>
          <t>R2, R5, R8, R11</t>
        </is>
      </c>
      <c r="C35" s="6" t="n">
        <v>4</v>
      </c>
      <c r="D35" s="6" t="inlineStr">
        <is>
          <t>5.1 MΩ 1%</t>
        </is>
      </c>
      <c r="E35" s="6" t="inlineStr">
        <is>
          <t>0805</t>
        </is>
      </c>
      <c r="F35" s="6" t="inlineStr">
        <is>
          <t>TC bias pull-down to ACM (open-TC detect)</t>
        </is>
      </c>
      <c r="G35" s="6" t="inlineStr">
        <is>
          <t>Generic</t>
        </is>
      </c>
      <c r="H35" s="6" t="inlineStr">
        <is>
          <t>-</t>
        </is>
      </c>
      <c r="I35" s="6" t="inlineStr">
        <is>
          <t>Passive</t>
        </is>
      </c>
      <c r="J35" s="6" t="inlineStr">
        <is>
          <t>Open-circuit node = ACM + 339 mV at AVDDR=3.0 V</t>
        </is>
      </c>
    </row>
    <row r="36">
      <c r="A36" s="6" t="n">
        <v>32</v>
      </c>
      <c r="B36" s="6" t="inlineStr">
        <is>
          <t>R3, R6, R9, R12</t>
        </is>
      </c>
      <c r="C36" s="6" t="n">
        <v>4</v>
      </c>
      <c r="D36" s="6" t="inlineStr">
        <is>
          <t>1 kΩ 1%</t>
        </is>
      </c>
      <c r="E36" s="6" t="inlineStr">
        <is>
          <t>0603</t>
        </is>
      </c>
      <c r="F36" s="6" t="inlineStr">
        <is>
          <t>TC input series resistor (RC filter)</t>
        </is>
      </c>
      <c r="G36" s="6" t="inlineStr">
        <is>
          <t>Generic</t>
        </is>
      </c>
      <c r="H36" s="6" t="inlineStr">
        <is>
          <t>-</t>
        </is>
      </c>
      <c r="I36" s="6" t="inlineStr">
        <is>
          <t>Passive</t>
        </is>
      </c>
      <c r="J36" s="6" t="inlineStr"/>
    </row>
    <row r="37">
      <c r="A37" s="6" t="n">
        <v>33</v>
      </c>
      <c r="B37" s="6" t="inlineStr">
        <is>
          <t>R13</t>
        </is>
      </c>
      <c r="C37" s="6" t="n">
        <v>1</v>
      </c>
      <c r="D37" s="6" t="inlineStr">
        <is>
          <t>300 kΩ 1%</t>
        </is>
      </c>
      <c r="E37" s="6" t="inlineStr">
        <is>
          <t>0603</t>
        </is>
      </c>
      <c r="F37" s="6" t="inlineStr">
        <is>
          <t>CJC NTC network: current-setting resistor</t>
        </is>
      </c>
      <c r="G37" s="6" t="inlineStr">
        <is>
          <t>Generic</t>
        </is>
      </c>
      <c r="H37" s="6" t="inlineStr">
        <is>
          <t>-</t>
        </is>
      </c>
      <c r="I37" s="6" t="inlineStr">
        <is>
          <t>Passive</t>
        </is>
      </c>
      <c r="J37" s="6" t="inlineStr">
        <is>
          <t>Value cancels out in the ratiometric calculation</t>
        </is>
      </c>
    </row>
    <row r="38">
      <c r="A38" s="6" t="n">
        <v>34</v>
      </c>
      <c r="B38" s="6" t="inlineStr">
        <is>
          <t>R14</t>
        </is>
      </c>
      <c r="C38" s="6" t="n">
        <v>1</v>
      </c>
      <c r="D38" s="6" t="inlineStr">
        <is>
          <t>10 kΩ 0.1% 25ppm</t>
        </is>
      </c>
      <c r="E38" s="6" t="inlineStr">
        <is>
          <t>0603</t>
        </is>
      </c>
      <c r="F38" s="6" t="inlineStr">
        <is>
          <t>CJC NTC network: ratiometric reference</t>
        </is>
      </c>
      <c r="G38" s="6" t="inlineStr">
        <is>
          <t>Generic</t>
        </is>
      </c>
      <c r="H38" s="6" t="inlineStr">
        <is>
          <t>-</t>
        </is>
      </c>
      <c r="I38" s="6" t="inlineStr">
        <is>
          <t>Passive</t>
        </is>
      </c>
      <c r="J38" s="6" t="inlineStr">
        <is>
          <t>Precision part: sets CJC accuracy</t>
        </is>
      </c>
    </row>
    <row r="39">
      <c r="A39" s="6" t="n">
        <v>35</v>
      </c>
      <c r="B39" s="6" t="inlineStr">
        <is>
          <t>R15, R16</t>
        </is>
      </c>
      <c r="C39" s="6" t="n">
        <v>2</v>
      </c>
      <c r="D39" s="6" t="inlineStr">
        <is>
          <t>470 kΩ 1%</t>
        </is>
      </c>
      <c r="E39" s="6" t="inlineStr">
        <is>
          <t>0603</t>
        </is>
      </c>
      <c r="F39" s="6" t="inlineStr">
        <is>
          <t>VBAT sense divider (1/2)</t>
        </is>
      </c>
      <c r="G39" s="6" t="inlineStr">
        <is>
          <t>Generic</t>
        </is>
      </c>
      <c r="H39" s="6" t="inlineStr">
        <is>
          <t>-</t>
        </is>
      </c>
      <c r="I39" s="6" t="inlineStr">
        <is>
          <t>Passive</t>
        </is>
      </c>
      <c r="J39" s="6" t="inlineStr">
        <is>
          <t>4.5 uA drain at 4.2 V</t>
        </is>
      </c>
    </row>
    <row r="40">
      <c r="A40" s="6" t="n">
        <v>36</v>
      </c>
      <c r="B40" s="6" t="inlineStr">
        <is>
          <t>R17</t>
        </is>
      </c>
      <c r="C40" s="6" t="n">
        <v>1</v>
      </c>
      <c r="D40" s="6" t="inlineStr">
        <is>
          <t>10 kΩ</t>
        </is>
      </c>
      <c r="E40" s="6" t="inlineStr">
        <is>
          <t>0603</t>
        </is>
      </c>
      <c r="F40" s="6" t="inlineStr">
        <is>
          <t>RST_B pull-up</t>
        </is>
      </c>
      <c r="G40" s="6" t="inlineStr">
        <is>
          <t>Generic</t>
        </is>
      </c>
      <c r="H40" s="6" t="inlineStr">
        <is>
          <t>-</t>
        </is>
      </c>
      <c r="I40" s="6" t="inlineStr">
        <is>
          <t>Passive</t>
        </is>
      </c>
      <c r="J40" s="6" t="inlineStr"/>
    </row>
    <row r="41">
      <c r="A41" s="6" t="n">
        <v>37</v>
      </c>
      <c r="B41" s="6" t="inlineStr">
        <is>
          <t>R18</t>
        </is>
      </c>
      <c r="C41" s="6" t="n">
        <v>1</v>
      </c>
      <c r="D41" s="6" t="inlineStr">
        <is>
          <t>2.0 kΩ 1%</t>
        </is>
      </c>
      <c r="E41" s="6" t="inlineStr">
        <is>
          <t>0603</t>
        </is>
      </c>
      <c r="F41" s="6" t="inlineStr">
        <is>
          <t>TP4054 PROG: sets 500 mA charge current</t>
        </is>
      </c>
      <c r="G41" s="6" t="inlineStr">
        <is>
          <t>Generic</t>
        </is>
      </c>
      <c r="H41" s="6" t="inlineStr">
        <is>
          <t>-</t>
        </is>
      </c>
      <c r="I41" s="6" t="inlineStr">
        <is>
          <t>Passive</t>
        </is>
      </c>
      <c r="J41" s="6" t="inlineStr">
        <is>
          <t>Use 4k for 250 mA if the cell is &lt; 500 mAh</t>
        </is>
      </c>
    </row>
    <row r="42">
      <c r="A42" s="6" t="n">
        <v>38</v>
      </c>
      <c r="B42" s="6" t="inlineStr">
        <is>
          <t>R19</t>
        </is>
      </c>
      <c r="C42" s="6" t="n">
        <v>1</v>
      </c>
      <c r="D42" s="6" t="inlineStr">
        <is>
          <t>100 kΩ</t>
        </is>
      </c>
      <c r="E42" s="6" t="inlineStr">
        <is>
          <t>0603</t>
        </is>
      </c>
      <c r="F42" s="6" t="inlineStr">
        <is>
          <t>USB_DET divider (top)</t>
        </is>
      </c>
      <c r="G42" s="6" t="inlineStr">
        <is>
          <t>Generic</t>
        </is>
      </c>
      <c r="H42" s="6" t="inlineStr">
        <is>
          <t>-</t>
        </is>
      </c>
      <c r="I42" s="6" t="inlineStr">
        <is>
          <t>Passive</t>
        </is>
      </c>
      <c r="J42" s="6" t="inlineStr"/>
    </row>
    <row r="43">
      <c r="A43" s="6" t="n">
        <v>39</v>
      </c>
      <c r="B43" s="6" t="inlineStr">
        <is>
          <t>R20</t>
        </is>
      </c>
      <c r="C43" s="6" t="n">
        <v>1</v>
      </c>
      <c r="D43" s="6" t="inlineStr">
        <is>
          <t>120 kΩ</t>
        </is>
      </c>
      <c r="E43" s="6" t="inlineStr">
        <is>
          <t>0603</t>
        </is>
      </c>
      <c r="F43" s="6" t="inlineStr">
        <is>
          <t>USB_DET divider (bottom)</t>
        </is>
      </c>
      <c r="G43" s="6" t="inlineStr">
        <is>
          <t>Generic</t>
        </is>
      </c>
      <c r="H43" s="6" t="inlineStr">
        <is>
          <t>-</t>
        </is>
      </c>
      <c r="I43" s="6" t="inlineStr">
        <is>
          <t>Passive</t>
        </is>
      </c>
      <c r="J43" s="6" t="inlineStr">
        <is>
          <t>VBUS 4.5 V -&gt; 2.45 V (&gt; VIH 2.31 V)</t>
        </is>
      </c>
    </row>
    <row r="44">
      <c r="A44" s="6" t="n">
        <v>40</v>
      </c>
      <c r="B44" s="6" t="inlineStr">
        <is>
          <t>R21, R22</t>
        </is>
      </c>
      <c r="C44" s="6" t="n">
        <v>2</v>
      </c>
      <c r="D44" s="6" t="inlineStr">
        <is>
          <t>5.1 kΩ 1%</t>
        </is>
      </c>
      <c r="E44" s="6" t="inlineStr">
        <is>
          <t>0603</t>
        </is>
      </c>
      <c r="F44" s="6" t="inlineStr">
        <is>
          <t>USB-C CC1 / CC2 pull-downs</t>
        </is>
      </c>
      <c r="G44" s="6" t="inlineStr">
        <is>
          <t>Generic</t>
        </is>
      </c>
      <c r="H44" s="6" t="inlineStr">
        <is>
          <t>-</t>
        </is>
      </c>
      <c r="I44" s="6" t="inlineStr">
        <is>
          <t>Passive</t>
        </is>
      </c>
      <c r="J44" s="6" t="inlineStr"/>
    </row>
    <row r="45">
      <c r="A45" s="6" t="n">
        <v>41</v>
      </c>
      <c r="B45" s="6" t="inlineStr">
        <is>
          <t>R23</t>
        </is>
      </c>
      <c r="C45" s="6" t="n">
        <v>1</v>
      </c>
      <c r="D45" s="6" t="inlineStr">
        <is>
          <t>10 kΩ</t>
        </is>
      </c>
      <c r="E45" s="6" t="inlineStr">
        <is>
          <t>0603</t>
        </is>
      </c>
      <c r="F45" s="6" t="inlineStr">
        <is>
          <t>UART1 TXD1 -&gt; CH340N RXD series (limits back-power)</t>
        </is>
      </c>
      <c r="G45" s="6" t="inlineStr">
        <is>
          <t>Generic</t>
        </is>
      </c>
      <c r="H45" s="6" t="inlineStr">
        <is>
          <t>-</t>
        </is>
      </c>
      <c r="I45" s="6" t="inlineStr">
        <is>
          <t>Passive</t>
        </is>
      </c>
      <c r="J45" s="6" t="inlineStr">
        <is>
          <t>Firmware must tri-state TXD1 when USB_DET = 0</t>
        </is>
      </c>
    </row>
    <row r="46">
      <c r="A46" s="6" t="n">
        <v>42</v>
      </c>
      <c r="B46" s="6" t="inlineStr">
        <is>
          <t>R24</t>
        </is>
      </c>
      <c r="C46" s="6" t="n">
        <v>1</v>
      </c>
      <c r="D46" s="6" t="inlineStr">
        <is>
          <t>1 kΩ</t>
        </is>
      </c>
      <c r="E46" s="6" t="inlineStr">
        <is>
          <t>0603</t>
        </is>
      </c>
      <c r="F46" s="6" t="inlineStr">
        <is>
          <t>UART1 RXD1 &lt;- CH340N TXD series</t>
        </is>
      </c>
      <c r="G46" s="6" t="inlineStr">
        <is>
          <t>Generic</t>
        </is>
      </c>
      <c r="H46" s="6" t="inlineStr">
        <is>
          <t>-</t>
        </is>
      </c>
      <c r="I46" s="6" t="inlineStr">
        <is>
          <t>Passive</t>
        </is>
      </c>
      <c r="J46" s="6" t="inlineStr"/>
    </row>
    <row r="47">
      <c r="A47" s="6" t="n">
        <v>43</v>
      </c>
      <c r="B47" s="6" t="inlineStr">
        <is>
          <t>R25</t>
        </is>
      </c>
      <c r="C47" s="6" t="n">
        <v>1</v>
      </c>
      <c r="D47" s="6" t="inlineStr">
        <is>
          <t>10 kΩ</t>
        </is>
      </c>
      <c r="E47" s="6" t="inlineStr">
        <is>
          <t>0603</t>
        </is>
      </c>
      <c r="F47" s="6" t="inlineStr">
        <is>
          <t>BOOT pull-up (DNP until polarity confirmed)</t>
        </is>
      </c>
      <c r="G47" s="6" t="inlineStr">
        <is>
          <t>Generic</t>
        </is>
      </c>
      <c r="H47" s="6" t="inlineStr">
        <is>
          <t>-</t>
        </is>
      </c>
      <c r="I47" s="6" t="inlineStr">
        <is>
          <t>Passive</t>
        </is>
      </c>
      <c r="J47" s="6" t="inlineStr">
        <is>
          <t>DNP</t>
        </is>
      </c>
    </row>
    <row r="48">
      <c r="A48" s="6" t="n">
        <v>44</v>
      </c>
      <c r="B48" s="6" t="inlineStr">
        <is>
          <t>R26, R27</t>
        </is>
      </c>
      <c r="C48" s="6" t="n">
        <v>2</v>
      </c>
      <c r="D48" s="6" t="inlineStr">
        <is>
          <t>4.7 kΩ</t>
        </is>
      </c>
      <c r="E48" s="6" t="inlineStr">
        <is>
          <t>0603</t>
        </is>
      </c>
      <c r="F48" s="6" t="inlineStr">
        <is>
          <t>I2C SDA / SCL pull-ups</t>
        </is>
      </c>
      <c r="G48" s="6" t="inlineStr">
        <is>
          <t>Generic</t>
        </is>
      </c>
      <c r="H48" s="6" t="inlineStr">
        <is>
          <t>-</t>
        </is>
      </c>
      <c r="I48" s="6" t="inlineStr">
        <is>
          <t>Passive</t>
        </is>
      </c>
      <c r="J48" s="6" t="inlineStr"/>
    </row>
    <row r="49">
      <c r="A49" s="6" t="n">
        <v>45</v>
      </c>
      <c r="B49" s="6" t="inlineStr">
        <is>
          <t>R28</t>
        </is>
      </c>
      <c r="C49" s="6" t="n">
        <v>1</v>
      </c>
      <c r="D49" s="6" t="inlineStr">
        <is>
          <t>1 kΩ</t>
        </is>
      </c>
      <c r="E49" s="6" t="inlineStr">
        <is>
          <t>0603</t>
        </is>
      </c>
      <c r="F49" s="6" t="inlineStr">
        <is>
          <t>Backlight transistor base resistor</t>
        </is>
      </c>
      <c r="G49" s="6" t="inlineStr">
        <is>
          <t>Generic</t>
        </is>
      </c>
      <c r="H49" s="6" t="inlineStr">
        <is>
          <t>-</t>
        </is>
      </c>
      <c r="I49" s="6" t="inlineStr">
        <is>
          <t>Passive</t>
        </is>
      </c>
      <c r="J49" s="6" t="inlineStr"/>
    </row>
    <row r="50">
      <c r="A50" s="6" t="n">
        <v>46</v>
      </c>
      <c r="B50" s="6" t="inlineStr">
        <is>
          <t>R29</t>
        </is>
      </c>
      <c r="C50" s="6" t="n">
        <v>1</v>
      </c>
      <c r="D50" s="6" t="inlineStr">
        <is>
          <t>per LED</t>
        </is>
      </c>
      <c r="E50" s="6" t="inlineStr">
        <is>
          <t>0603</t>
        </is>
      </c>
      <c r="F50" s="6" t="inlineStr">
        <is>
          <t>Backlight LED current-limit resistor</t>
        </is>
      </c>
      <c r="G50" s="6" t="inlineStr">
        <is>
          <t>Generic</t>
        </is>
      </c>
      <c r="H50" s="6" t="inlineStr">
        <is>
          <t>-</t>
        </is>
      </c>
      <c r="I50" s="6" t="inlineStr">
        <is>
          <t>Passive</t>
        </is>
      </c>
      <c r="J50" s="6" t="inlineStr">
        <is>
          <t>Calculate from LED Vf / If; fed from VBAT_SW</t>
        </is>
      </c>
    </row>
    <row r="51">
      <c r="A51" s="6" t="n">
        <v>47</v>
      </c>
      <c r="B51" s="6" t="inlineStr">
        <is>
          <t>R30</t>
        </is>
      </c>
      <c r="C51" s="6" t="n">
        <v>1</v>
      </c>
      <c r="D51" s="6" t="inlineStr">
        <is>
          <t>100 kΩ</t>
        </is>
      </c>
      <c r="E51" s="6" t="inlineStr">
        <is>
          <t>0603</t>
        </is>
      </c>
      <c r="F51" s="6" t="inlineStr">
        <is>
          <t>Backlight base pull-down</t>
        </is>
      </c>
      <c r="G51" s="6" t="inlineStr">
        <is>
          <t>Generic</t>
        </is>
      </c>
      <c r="H51" s="6" t="inlineStr">
        <is>
          <t>-</t>
        </is>
      </c>
      <c r="I51" s="6" t="inlineStr">
        <is>
          <t>Passive</t>
        </is>
      </c>
      <c r="J51" s="6" t="inlineStr"/>
    </row>
    <row r="52">
      <c r="A52" s="6" t="n">
        <v>48</v>
      </c>
      <c r="B52" s="6" t="inlineStr">
        <is>
          <t>RT1</t>
        </is>
      </c>
      <c r="C52" s="6" t="n">
        <v>1</v>
      </c>
      <c r="D52" s="6" t="inlineStr">
        <is>
          <t>NTC 10 kΩ 1% B3380</t>
        </is>
      </c>
      <c r="E52" s="6" t="inlineStr">
        <is>
          <t>0603</t>
        </is>
      </c>
      <c r="F52" s="6" t="inlineStr">
        <is>
          <t>Cold-junction sensor</t>
        </is>
      </c>
      <c r="G52" s="6" t="inlineStr">
        <is>
          <t>Murata</t>
        </is>
      </c>
      <c r="H52" s="6" t="inlineStr">
        <is>
          <t>NCP18XH103F03RB</t>
        </is>
      </c>
      <c r="I52" s="6" t="inlineStr">
        <is>
          <t>Passive</t>
        </is>
      </c>
      <c r="J52" s="6" t="inlineStr">
        <is>
          <t>Place at the thermocouple jacks (isothermal with J1-J4), away from U3/U1</t>
        </is>
      </c>
    </row>
    <row r="53">
      <c r="A53" s="7" t="n">
        <v>49</v>
      </c>
      <c r="B53" s="7" t="inlineStr">
        <is>
          <t>Y1</t>
        </is>
      </c>
      <c r="C53" s="7" t="n">
        <v>1</v>
      </c>
      <c r="D53" s="7" t="inlineStr">
        <is>
          <t>32.768 kHz 12.5 pF</t>
        </is>
      </c>
      <c r="E53" s="7" t="inlineStr">
        <is>
          <t>3215</t>
        </is>
      </c>
      <c r="F53" s="7" t="inlineStr">
        <is>
          <t>RTC crystal on XIN1/XOUT1 (P00/P01)</t>
        </is>
      </c>
      <c r="G53" s="7" t="inlineStr">
        <is>
          <t>Epson / equiv.</t>
        </is>
      </c>
      <c r="H53" s="7" t="inlineStr">
        <is>
          <t>FC-135 or equivalent</t>
        </is>
      </c>
      <c r="I53" s="7" t="inlineStr">
        <is>
          <t>Crystal</t>
        </is>
      </c>
      <c r="J53" s="7" t="inlineStr">
        <is>
          <t>+-20 ppm</t>
        </is>
      </c>
    </row>
    <row r="54">
      <c r="A54" s="8" t="n">
        <v>50</v>
      </c>
      <c r="B54" s="8" t="inlineStr">
        <is>
          <t>J1, J2, J3, J4</t>
        </is>
      </c>
      <c r="C54" s="8" t="n">
        <v>4</v>
      </c>
      <c r="D54" s="8" t="inlineStr">
        <is>
          <t>K-type mini socket</t>
        </is>
      </c>
      <c r="E54" s="8" t="inlineStr">
        <is>
          <t>PCB / panel</t>
        </is>
      </c>
      <c r="F54" s="8" t="inlineStr">
        <is>
          <t>Miniature thermocouple jack, ANSI yellow, flat-pin (K)</t>
        </is>
      </c>
      <c r="G54" s="8" t="inlineStr">
        <is>
          <t>Omega / equiv.</t>
        </is>
      </c>
      <c r="H54" s="8" t="inlineStr">
        <is>
          <t>SMPW-K-F (or equivalent)</t>
        </is>
      </c>
      <c r="I54" s="8" t="inlineStr">
        <is>
          <t>Connector</t>
        </is>
      </c>
      <c r="J54" s="8" t="inlineStr">
        <is>
          <t>Pin 1 = K+ (chromel, yellow-labelled +), pin 2 = K- (alumel). Metal body away from heat sources</t>
        </is>
      </c>
    </row>
    <row r="55">
      <c r="A55" s="8" t="n">
        <v>51</v>
      </c>
      <c r="B55" s="8" t="inlineStr">
        <is>
          <t>J5</t>
        </is>
      </c>
      <c r="C55" s="8" t="n">
        <v>1</v>
      </c>
      <c r="D55" s="8" t="inlineStr">
        <is>
          <t>USB Type-C 16P</t>
        </is>
      </c>
      <c r="E55" s="8" t="inlineStr">
        <is>
          <t>SMD</t>
        </is>
      </c>
      <c r="F55" s="8" t="inlineStr">
        <is>
          <t>USB 2.0 Type-C receptacle, 16-pin</t>
        </is>
      </c>
      <c r="G55" s="8" t="inlineStr">
        <is>
          <t>HRO / equiv.</t>
        </is>
      </c>
      <c r="H55" s="8" t="inlineStr">
        <is>
          <t>TYPE-C-31-M-12</t>
        </is>
      </c>
      <c r="I55" s="8" t="inlineStr">
        <is>
          <t>Connector</t>
        </is>
      </c>
      <c r="J55" s="8" t="inlineStr">
        <is>
          <t>CC1/CC2 5.1k pull-downs fitted</t>
        </is>
      </c>
    </row>
    <row r="56">
      <c r="A56" s="8" t="n">
        <v>52</v>
      </c>
      <c r="B56" s="8" t="inlineStr">
        <is>
          <t>J6</t>
        </is>
      </c>
      <c r="C56" s="8" t="n">
        <v>1</v>
      </c>
      <c r="D56" s="8" t="inlineStr">
        <is>
          <t>JST PH 2P</t>
        </is>
      </c>
      <c r="E56" s="8" t="inlineStr">
        <is>
          <t>THT/SMD</t>
        </is>
      </c>
      <c r="F56" s="8" t="inlineStr">
        <is>
          <t>Battery connector (1S Li-ion/LiPo with protection PCM)</t>
        </is>
      </c>
      <c r="G56" s="8" t="inlineStr">
        <is>
          <t>JST</t>
        </is>
      </c>
      <c r="H56" s="8" t="inlineStr">
        <is>
          <t>B2B-PH-K-S</t>
        </is>
      </c>
      <c r="I56" s="8" t="inlineStr">
        <is>
          <t>Connector</t>
        </is>
      </c>
      <c r="J56" s="8" t="inlineStr">
        <is>
          <t>Red = +, black = -. Pack MUST have a protection circuit</t>
        </is>
      </c>
    </row>
    <row r="57">
      <c r="A57" s="8" t="n">
        <v>53</v>
      </c>
      <c r="B57" s="8" t="inlineStr">
        <is>
          <t>J7</t>
        </is>
      </c>
      <c r="C57" s="8" t="n">
        <v>1</v>
      </c>
      <c r="D57" s="8" t="inlineStr">
        <is>
          <t>FPC 43P 0.5mm</t>
        </is>
      </c>
      <c r="E57" s="8" t="inlineStr">
        <is>
          <t>SMD</t>
        </is>
      </c>
      <c r="F57" s="8" t="inlineStr">
        <is>
          <t>LCD interface (4 COM + 39 SEG) - match to custom glass</t>
        </is>
      </c>
      <c r="G57" s="8" t="inlineStr">
        <is>
          <t>Generic</t>
        </is>
      </c>
      <c r="H57" s="8" t="inlineStr">
        <is>
          <t>-</t>
        </is>
      </c>
      <c r="I57" s="8" t="inlineStr">
        <is>
          <t>Connector</t>
        </is>
      </c>
      <c r="J57" s="8" t="inlineStr">
        <is>
          <t>Or zebra / pin header, depends on glass vendor</t>
        </is>
      </c>
    </row>
    <row r="58">
      <c r="A58" s="8" t="n">
        <v>54</v>
      </c>
      <c r="B58" s="8" t="inlineStr">
        <is>
          <t>J8</t>
        </is>
      </c>
      <c r="C58" s="8" t="n">
        <v>1</v>
      </c>
      <c r="D58" s="8" t="inlineStr">
        <is>
          <t>2P 1.25mm</t>
        </is>
      </c>
      <c r="E58" s="8" t="inlineStr">
        <is>
          <t>SMD</t>
        </is>
      </c>
      <c r="F58" s="8" t="inlineStr">
        <is>
          <t>LCD backlight LED connector (optional)</t>
        </is>
      </c>
      <c r="G58" s="8" t="inlineStr">
        <is>
          <t>Generic</t>
        </is>
      </c>
      <c r="H58" s="8" t="inlineStr">
        <is>
          <t>-</t>
        </is>
      </c>
      <c r="I58" s="8" t="inlineStr">
        <is>
          <t>Connector</t>
        </is>
      </c>
      <c r="J58" s="8" t="inlineStr">
        <is>
          <t>DNP if no backlight</t>
        </is>
      </c>
    </row>
    <row r="59">
      <c r="A59" s="8" t="n">
        <v>55</v>
      </c>
      <c r="B59" s="8" t="inlineStr">
        <is>
          <t>P2</t>
        </is>
      </c>
      <c r="C59" s="8" t="n">
        <v>1</v>
      </c>
      <c r="D59" s="8" t="inlineStr">
        <is>
          <t>1x5 pad/header</t>
        </is>
      </c>
      <c r="E59" s="8" t="inlineStr">
        <is>
          <t>2.54mm</t>
        </is>
      </c>
      <c r="F59" s="8" t="inlineStr">
        <is>
          <t>ISP UART: 3V3, BOOT, RXD1, TXD1, GND (vendor ref P2)</t>
        </is>
      </c>
      <c r="G59" s="8" t="inlineStr">
        <is>
          <t>Generic</t>
        </is>
      </c>
      <c r="H59" s="8" t="inlineStr">
        <is>
          <t>-</t>
        </is>
      </c>
      <c r="I59" s="8" t="inlineStr">
        <is>
          <t>Connector</t>
        </is>
      </c>
      <c r="J59" s="8" t="inlineStr">
        <is>
          <t>Not needed in normal use - firmware can be loaded through the Type-C bridge</t>
        </is>
      </c>
    </row>
    <row r="60">
      <c r="A60" s="8" t="n">
        <v>56</v>
      </c>
      <c r="B60" s="8" t="inlineStr">
        <is>
          <t>P3</t>
        </is>
      </c>
      <c r="C60" s="8" t="n">
        <v>1</v>
      </c>
      <c r="D60" s="8" t="inlineStr">
        <is>
          <t>1x5 pad/header</t>
        </is>
      </c>
      <c r="E60" s="8" t="inlineStr">
        <is>
          <t>2.54mm</t>
        </is>
      </c>
      <c r="F60" s="8" t="inlineStr">
        <is>
          <t>SWD debug: 3V3, TCK, TMS, BOOT, GND (vendor ref P3)</t>
        </is>
      </c>
      <c r="G60" s="8" t="inlineStr">
        <is>
          <t>Generic</t>
        </is>
      </c>
      <c r="H60" s="8" t="inlineStr">
        <is>
          <t>-</t>
        </is>
      </c>
      <c r="I60" s="8" t="inlineStr">
        <is>
          <t>Connector</t>
        </is>
      </c>
      <c r="J60" s="8" t="inlineStr"/>
    </row>
    <row r="61">
      <c r="A61" s="8" t="n">
        <v>57</v>
      </c>
      <c r="B61" s="8" t="inlineStr">
        <is>
          <t>P4</t>
        </is>
      </c>
      <c r="C61" s="8" t="n">
        <v>1</v>
      </c>
      <c r="D61" s="8" t="inlineStr">
        <is>
          <t>1x4 header</t>
        </is>
      </c>
      <c r="E61" s="8" t="inlineStr">
        <is>
          <t>2.54mm</t>
        </is>
      </c>
      <c r="F61" s="8" t="inlineStr">
        <is>
          <t>UART0 expansion: 3V3, TXD0, RXD0, GND (BT/WiFi module etc.)</t>
        </is>
      </c>
      <c r="G61" s="8" t="inlineStr">
        <is>
          <t>Generic</t>
        </is>
      </c>
      <c r="H61" s="8" t="inlineStr">
        <is>
          <t>-</t>
        </is>
      </c>
      <c r="I61" s="8" t="inlineStr">
        <is>
          <t>Connector</t>
        </is>
      </c>
      <c r="J61" s="8" t="inlineStr">
        <is>
          <t>DNP / optional</t>
        </is>
      </c>
    </row>
    <row r="62">
      <c r="A62" s="9" t="n">
        <v>58</v>
      </c>
      <c r="B62" s="9" t="inlineStr">
        <is>
          <t>BZ1</t>
        </is>
      </c>
      <c r="C62" s="9" t="n">
        <v>1</v>
      </c>
      <c r="D62" s="9" t="inlineStr">
        <is>
          <t>Piezo 4 kHz</t>
        </is>
      </c>
      <c r="E62" s="9" t="inlineStr">
        <is>
          <t>12 mm</t>
        </is>
      </c>
      <c r="F62" s="9" t="inlineStr">
        <is>
          <t>Passive piezo buzzer, driven differentially by BUZ0/BUZB0</t>
        </is>
      </c>
      <c r="G62" s="9" t="inlineStr">
        <is>
          <t>Generic</t>
        </is>
      </c>
      <c r="H62" s="9" t="inlineStr">
        <is>
          <t>-</t>
        </is>
      </c>
      <c r="I62" s="9" t="inlineStr">
        <is>
          <t>Electromech</t>
        </is>
      </c>
      <c r="J62" s="9" t="inlineStr">
        <is>
          <t>No driver transistor needed</t>
        </is>
      </c>
    </row>
    <row r="63">
      <c r="A63" s="9" t="n">
        <v>59</v>
      </c>
      <c r="B63" s="9" t="inlineStr">
        <is>
          <t>SW1, SW2, SW3, SW4, SW5</t>
        </is>
      </c>
      <c r="C63" s="9" t="n">
        <v>5</v>
      </c>
      <c r="D63" s="9" t="inlineStr">
        <is>
          <t>Tact switch</t>
        </is>
      </c>
      <c r="E63" s="9" t="inlineStr">
        <is>
          <t>SMD 6x6 / 3x4</t>
        </is>
      </c>
      <c r="F63" s="9" t="inlineStr">
        <is>
          <t>Front-panel keys: POWER/BL, MODE, HOLD, MAX/MIN, LOG</t>
        </is>
      </c>
      <c r="G63" s="9" t="inlineStr">
        <is>
          <t>Generic</t>
        </is>
      </c>
      <c r="H63" s="9" t="inlineStr">
        <is>
          <t>-</t>
        </is>
      </c>
      <c r="I63" s="9" t="inlineStr">
        <is>
          <t>Electromech</t>
        </is>
      </c>
      <c r="J63" s="9" t="inlineStr"/>
    </row>
    <row r="64">
      <c r="A64" s="9" t="n">
        <v>60</v>
      </c>
      <c r="B64" s="9" t="inlineStr">
        <is>
          <t>SW6</t>
        </is>
      </c>
      <c r="C64" s="9" t="n">
        <v>1</v>
      </c>
      <c r="D64" s="9" t="inlineStr">
        <is>
          <t>Tact switch</t>
        </is>
      </c>
      <c r="E64" s="9" t="inlineStr">
        <is>
          <t>SMD 3x4</t>
        </is>
      </c>
      <c r="F64" s="9" t="inlineStr">
        <is>
          <t>Hardware reset</t>
        </is>
      </c>
      <c r="G64" s="9" t="inlineStr">
        <is>
          <t>Generic</t>
        </is>
      </c>
      <c r="H64" s="9" t="inlineStr">
        <is>
          <t>-</t>
        </is>
      </c>
      <c r="I64" s="9" t="inlineStr">
        <is>
          <t>Electromech</t>
        </is>
      </c>
      <c r="J64" s="9" t="inlineStr"/>
    </row>
    <row r="65">
      <c r="A65" s="9" t="n">
        <v>61</v>
      </c>
      <c r="B65" s="9" t="inlineStr">
        <is>
          <t>SW7</t>
        </is>
      </c>
      <c r="C65" s="9" t="n">
        <v>1</v>
      </c>
      <c r="D65" s="9" t="inlineStr">
        <is>
          <t>SPDT slide switch</t>
        </is>
      </c>
      <c r="E65" s="9" t="inlineStr">
        <is>
          <t>SMD</t>
        </is>
      </c>
      <c r="F65" s="9" t="inlineStr">
        <is>
          <t>Battery on/off (isolates load, charger still works)</t>
        </is>
      </c>
      <c r="G65" s="9" t="inlineStr">
        <is>
          <t>Generic</t>
        </is>
      </c>
      <c r="H65" s="9" t="inlineStr">
        <is>
          <t>-</t>
        </is>
      </c>
      <c r="I65" s="9" t="inlineStr">
        <is>
          <t>Electromech</t>
        </is>
      </c>
      <c r="J65" s="9" t="inlineStr"/>
    </row>
    <row r="66">
      <c r="A66" s="9" t="n">
        <v>62</v>
      </c>
      <c r="B66" s="9" t="inlineStr">
        <is>
          <t>SW8</t>
        </is>
      </c>
      <c r="C66" s="9" t="n">
        <v>1</v>
      </c>
      <c r="D66" s="9" t="inlineStr">
        <is>
          <t>Tact switch</t>
        </is>
      </c>
      <c r="E66" s="9" t="inlineStr">
        <is>
          <t>SMD 3x4</t>
        </is>
      </c>
      <c r="F66" s="9" t="inlineStr">
        <is>
          <t>BOOT select (ISP) - optional</t>
        </is>
      </c>
      <c r="G66" s="9" t="inlineStr">
        <is>
          <t>Generic</t>
        </is>
      </c>
      <c r="H66" s="9" t="inlineStr">
        <is>
          <t>-</t>
        </is>
      </c>
      <c r="I66" s="9" t="inlineStr">
        <is>
          <t>Electromech</t>
        </is>
      </c>
      <c r="J66" s="9" t="inlineStr">
        <is>
          <t>DNP until BOOT polarity is confirmed with SDIC</t>
        </is>
      </c>
    </row>
    <row r="68">
      <c r="B68" s="10" t="inlineStr">
        <is>
          <t>Subtotals by category (quantity of parts)</t>
        </is>
      </c>
    </row>
    <row r="69">
      <c r="B69" t="inlineStr">
        <is>
          <t>IC</t>
        </is>
      </c>
      <c r="C69">
        <f>SUM(C5:C10)</f>
        <v/>
      </c>
    </row>
    <row r="70">
      <c r="B70" t="inlineStr">
        <is>
          <t>Discrete</t>
        </is>
      </c>
      <c r="C70">
        <f>SUM(C11:C12)</f>
        <v/>
      </c>
    </row>
    <row r="71">
      <c r="B71" t="inlineStr">
        <is>
          <t>Passive</t>
        </is>
      </c>
      <c r="C71">
        <f>SUM(C13:C52)</f>
        <v/>
      </c>
    </row>
    <row r="72">
      <c r="B72" t="inlineStr">
        <is>
          <t>Crystal</t>
        </is>
      </c>
      <c r="C72">
        <f>SUM(C53:C53)</f>
        <v/>
      </c>
    </row>
    <row r="73">
      <c r="B73" t="inlineStr">
        <is>
          <t>Connector</t>
        </is>
      </c>
      <c r="C73">
        <f>SUM(C54:C61)</f>
        <v/>
      </c>
    </row>
    <row r="74">
      <c r="B74" t="inlineStr">
        <is>
          <t>Electromech</t>
        </is>
      </c>
      <c r="C74">
        <f>SUM(C62:C66)</f>
        <v/>
      </c>
    </row>
    <row r="75">
      <c r="B75" s="10" t="inlineStr">
        <is>
          <t>TOTAL parts</t>
        </is>
      </c>
      <c r="C75" s="10">
        <f>SUM(C69:C74)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2026-10-09T09:54:19Z</dcterms:created>
  <dcterms:modified xmlns:dcterms="http://purl.org/dc/terms/" xmlns:xsi="http://www.w3.org/2001/XMLSchema-instance" xsi:type="dcterms:W3CDTF">2026-10-09T09:54:19Z</dcterms:modified>
</cp:coreProperties>
</file>